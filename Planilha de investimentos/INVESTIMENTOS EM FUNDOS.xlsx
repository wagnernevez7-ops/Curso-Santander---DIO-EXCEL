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43b7bada039ddb/EXCEL DIO/Planilha de investimentos/"/>
    </mc:Choice>
  </mc:AlternateContent>
  <xr:revisionPtr revIDLastSave="828" documentId="8_{9AE86CE3-A574-4A67-9A17-10F6F92EFC94}" xr6:coauthVersionLast="47" xr6:coauthVersionMax="47" xr10:uidLastSave="{E423267B-0AB0-4612-85A7-BE386EDD2026}"/>
  <bookViews>
    <workbookView xWindow="-108" yWindow="-108" windowWidth="23256" windowHeight="12456" xr2:uid="{B613FDFB-D0B6-4F0A-9C2D-CEFBDDCECD34}"/>
  </bookViews>
  <sheets>
    <sheet name="APLICAÇÕES" sheetId="1" r:id="rId1"/>
    <sheet name="FORMULAÇÕES" sheetId="2" r:id="rId2"/>
  </sheets>
  <definedNames>
    <definedName name="Aporte">APLICAÇÕES!$D$16</definedName>
    <definedName name="Patrimonio">APLICAÇÕES!$D$19</definedName>
    <definedName name="Qtd_Anos">APLICAÇÕES!$D$17</definedName>
    <definedName name="Rendimento_Carteira">APLICAÇÕES!$D$12</definedName>
    <definedName name="salario">APLICAÇÕES!$D$11</definedName>
    <definedName name="Sugestao_investimento">APLICAÇÕES!$D$13</definedName>
    <definedName name="Taxa_Mensal">APLICAÇÕES!$D$18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6" i="1"/>
  <c r="D13" i="1"/>
  <c r="A14" i="2"/>
  <c r="A15" i="2"/>
  <c r="A16" i="2"/>
  <c r="A17" i="2"/>
  <c r="A18" i="2"/>
  <c r="A19" i="2"/>
  <c r="A9" i="2"/>
  <c r="A10" i="2"/>
  <c r="A11" i="2"/>
  <c r="A12" i="2"/>
  <c r="A13" i="2"/>
  <c r="A8" i="2"/>
  <c r="A3" i="2"/>
  <c r="A4" i="2"/>
  <c r="A5" i="2"/>
  <c r="A6" i="2"/>
  <c r="A7" i="2"/>
  <c r="A2" i="2"/>
  <c r="D19" i="1"/>
  <c r="D20" i="1" s="1"/>
  <c r="C24" i="1"/>
  <c r="D24" i="1" s="1"/>
  <c r="C25" i="1"/>
  <c r="D25" i="1" s="1"/>
  <c r="C26" i="1"/>
  <c r="D26" i="1" s="1"/>
  <c r="C27" i="1"/>
  <c r="D27" i="1" s="1"/>
  <c r="C23" i="1"/>
  <c r="D23" i="1" s="1"/>
  <c r="C39" i="1" l="1"/>
  <c r="D39" i="1" s="1"/>
  <c r="C37" i="1"/>
  <c r="D37" i="1" s="1"/>
  <c r="C38" i="1"/>
  <c r="D38" i="1" s="1"/>
  <c r="D36" i="1"/>
  <c r="C35" i="1"/>
  <c r="D35" i="1" s="1"/>
  <c r="C34" i="1"/>
  <c r="D34" i="1" s="1"/>
  <c r="D40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<sst xmlns="http://schemas.openxmlformats.org/spreadsheetml/2006/main" count="69" uniqueCount="33">
  <si>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</si>
  <si>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</si>
  <si>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</si>
  <si>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</si>
  <si>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</si>
  <si>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INVESTIMENTOS MENSAIS</t>
  </si>
  <si>
    <t>Quantos em 2 anos?</t>
  </si>
  <si>
    <t>Quantos em 5 anos?</t>
  </si>
  <si>
    <t>Quantos em 10 anos?</t>
  </si>
  <si>
    <t>Quantos em 20 anos?</t>
  </si>
  <si>
    <t>Quantos em 30 anos?</t>
  </si>
  <si>
    <t>CENÁRIOS</t>
  </si>
  <si>
    <t>DIVIDENDOS</t>
  </si>
  <si>
    <t>Rendimento carteira</t>
  </si>
  <si>
    <t>Salário</t>
  </si>
  <si>
    <t>CONFIGURAÇÕES</t>
  </si>
  <si>
    <t>Valor a ser investido por mês</t>
  </si>
  <si>
    <t>PERFIL</t>
  </si>
  <si>
    <t>CONSERVADOR</t>
  </si>
  <si>
    <t>MODERADO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</si>
  <si>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</si>
  <si>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</si>
  <si>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</si>
  <si>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</si>
  <si>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</si>
  <si>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</si>
  <si>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</si>
  <si>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</si>
  <si>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</si>
  <si>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AGRESSIVO</t>
  </si>
  <si>
    <t>Sugestão de Investimento (20%)</t>
  </si>
  <si>
    <t>PERCENTUAL %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</si>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</sst>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2" tint="-9.9948118533890809E-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indexed="64"/>
      </bottom>
      <diagonal/>
    </border>
    <border>
      <left/>
      <right style="medium">
        <color theme="2" tint="-9.9948118533890809E-2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/>
      <right style="medium">
        <color theme="2" tint="-9.9948118533890809E-2"/>
      </right>
      <top/>
      <bottom style="medium">
        <color theme="0" tint="-0.14996795556505021"/>
      </bottom>
      <diagonal/>
    </border>
    <border>
      <left style="medium">
        <color theme="2" tint="-9.9948118533890809E-2"/>
      </left>
      <right style="medium">
        <color indexed="64"/>
      </right>
      <top/>
      <bottom style="medium">
        <color theme="2" tint="-9.9948118533890809E-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indexed="64"/>
      </bottom>
      <diagonal/>
    </border>
    <border>
      <left/>
      <right/>
      <top style="medium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8">
    <xf numFmtId="0" fontId="0" fillId="0" borderId="0" xfId="0"/>
    <xf numFmtId="0" fontId="4" fillId="0" borderId="0" xfId="0" applyFont="1"/>
    <xf numFmtId="10" fontId="3" fillId="6" borderId="3" xfId="0" applyNumberFormat="1" applyFont="1" applyFill="1" applyBorder="1" applyAlignment="1">
      <alignment horizontal="center" vertical="center"/>
    </xf>
    <xf numFmtId="164" fontId="9" fillId="6" borderId="19" xfId="1" applyNumberFormat="1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10" fontId="9" fillId="6" borderId="22" xfId="0" applyNumberFormat="1" applyFont="1" applyFill="1" applyBorder="1" applyAlignment="1">
      <alignment horizontal="center" vertical="center"/>
    </xf>
    <xf numFmtId="8" fontId="9" fillId="4" borderId="22" xfId="0" applyNumberFormat="1" applyFont="1" applyFill="1" applyBorder="1" applyAlignment="1">
      <alignment horizontal="center" vertical="center"/>
    </xf>
    <xf numFmtId="8" fontId="9" fillId="4" borderId="25" xfId="0" applyNumberFormat="1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left" vertical="center" indent="5"/>
    </xf>
    <xf numFmtId="0" fontId="8" fillId="6" borderId="27" xfId="0" applyFont="1" applyFill="1" applyBorder="1" applyAlignment="1">
      <alignment horizontal="left" vertical="center" indent="5"/>
    </xf>
    <xf numFmtId="0" fontId="8" fillId="6" borderId="28" xfId="0" applyFont="1" applyFill="1" applyBorder="1" applyAlignment="1">
      <alignment horizontal="left" vertical="center" indent="5"/>
    </xf>
    <xf numFmtId="0" fontId="0" fillId="0" borderId="30" xfId="0" applyBorder="1"/>
    <xf numFmtId="0" fontId="0" fillId="0" borderId="31" xfId="0" applyBorder="1"/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/>
    <xf numFmtId="0" fontId="0" fillId="0" borderId="29" xfId="0" applyBorder="1"/>
    <xf numFmtId="0" fontId="0" fillId="0" borderId="29" xfId="0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0" borderId="36" xfId="0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0" fontId="0" fillId="0" borderId="39" xfId="0" applyBorder="1"/>
    <xf numFmtId="0" fontId="0" fillId="0" borderId="39" xfId="0" applyBorder="1" applyAlignment="1">
      <alignment horizontal="center" vertical="center"/>
    </xf>
    <xf numFmtId="9" fontId="0" fillId="0" borderId="41" xfId="0" applyNumberFormat="1" applyBorder="1" applyAlignment="1">
      <alignment horizontal="center" vertical="center"/>
    </xf>
    <xf numFmtId="164" fontId="3" fillId="6" borderId="44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3" fillId="7" borderId="53" xfId="0" applyFont="1" applyFill="1" applyBorder="1" applyAlignment="1">
      <alignment horizontal="center" vertical="center"/>
    </xf>
    <xf numFmtId="0" fontId="3" fillId="7" borderId="54" xfId="0" applyFont="1" applyFill="1" applyBorder="1" applyAlignment="1">
      <alignment horizontal="center" vertical="center"/>
    </xf>
    <xf numFmtId="164" fontId="3" fillId="7" borderId="55" xfId="0" applyNumberFormat="1" applyFont="1" applyFill="1" applyBorder="1" applyAlignment="1">
      <alignment horizontal="center" vertical="center"/>
    </xf>
    <xf numFmtId="0" fontId="10" fillId="2" borderId="12" xfId="2" applyFont="1" applyBorder="1" applyAlignment="1">
      <alignment horizontal="left" vertical="center" indent="5"/>
    </xf>
    <xf numFmtId="0" fontId="0" fillId="6" borderId="56" xfId="0" applyFill="1" applyBorder="1"/>
    <xf numFmtId="0" fontId="5" fillId="3" borderId="8" xfId="0" applyFont="1" applyFill="1" applyBorder="1" applyAlignment="1">
      <alignment horizontal="center" vertical="center"/>
    </xf>
    <xf numFmtId="164" fontId="3" fillId="8" borderId="4" xfId="0" applyNumberFormat="1" applyFont="1" applyFill="1" applyBorder="1" applyAlignment="1">
      <alignment horizontal="center" vertical="center"/>
    </xf>
    <xf numFmtId="164" fontId="9" fillId="8" borderId="10" xfId="1" applyNumberFormat="1" applyFont="1" applyFill="1" applyBorder="1" applyAlignment="1">
      <alignment horizontal="center" vertical="center"/>
    </xf>
    <xf numFmtId="164" fontId="9" fillId="8" borderId="5" xfId="1" applyNumberFormat="1" applyFont="1" applyFill="1" applyBorder="1" applyAlignment="1">
      <alignment horizontal="center" vertical="center"/>
    </xf>
    <xf numFmtId="8" fontId="9" fillId="8" borderId="10" xfId="0" applyNumberFormat="1" applyFont="1" applyFill="1" applyBorder="1" applyAlignment="1">
      <alignment horizontal="center" vertical="center"/>
    </xf>
    <xf numFmtId="8" fontId="9" fillId="8" borderId="5" xfId="0" applyNumberFormat="1" applyFont="1" applyFill="1" applyBorder="1" applyAlignment="1">
      <alignment horizontal="center" vertical="center"/>
    </xf>
    <xf numFmtId="8" fontId="9" fillId="8" borderId="11" xfId="0" applyNumberFormat="1" applyFont="1" applyFill="1" applyBorder="1" applyAlignment="1">
      <alignment horizontal="center" vertical="center"/>
    </xf>
    <xf numFmtId="8" fontId="9" fillId="8" borderId="6" xfId="0" applyNumberFormat="1" applyFont="1" applyFill="1" applyBorder="1" applyAlignment="1">
      <alignment horizontal="center" vertical="center"/>
    </xf>
    <xf numFmtId="9" fontId="0" fillId="8" borderId="47" xfId="0" applyNumberFormat="1" applyFill="1" applyBorder="1" applyAlignment="1">
      <alignment horizontal="center" vertical="center"/>
    </xf>
    <xf numFmtId="164" fontId="0" fillId="8" borderId="50" xfId="0" applyNumberFormat="1" applyFill="1" applyBorder="1" applyAlignment="1">
      <alignment horizontal="center" vertical="center"/>
    </xf>
    <xf numFmtId="9" fontId="0" fillId="8" borderId="48" xfId="0" applyNumberFormat="1" applyFill="1" applyBorder="1" applyAlignment="1">
      <alignment horizontal="center" vertical="center"/>
    </xf>
    <xf numFmtId="164" fontId="0" fillId="8" borderId="52" xfId="0" applyNumberFormat="1" applyFill="1" applyBorder="1" applyAlignment="1">
      <alignment horizontal="center" vertical="center"/>
    </xf>
    <xf numFmtId="164" fontId="0" fillId="6" borderId="57" xfId="0" applyNumberFormat="1" applyFill="1" applyBorder="1" applyAlignment="1">
      <alignment horizontal="center"/>
    </xf>
    <xf numFmtId="164" fontId="0" fillId="6" borderId="58" xfId="0" applyNumberFormat="1" applyFill="1" applyBorder="1" applyAlignment="1">
      <alignment horizontal="center"/>
    </xf>
    <xf numFmtId="0" fontId="10" fillId="2" borderId="7" xfId="2" applyFont="1" applyBorder="1" applyAlignment="1">
      <alignment horizontal="center" vertical="center"/>
    </xf>
    <xf numFmtId="0" fontId="10" fillId="2" borderId="8" xfId="2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left" vertical="center" indent="5"/>
    </xf>
    <xf numFmtId="0" fontId="8" fillId="4" borderId="21" xfId="0" applyFont="1" applyFill="1" applyBorder="1" applyAlignment="1">
      <alignment horizontal="left" vertical="center" indent="5"/>
    </xf>
    <xf numFmtId="0" fontId="8" fillId="4" borderId="23" xfId="0" applyFont="1" applyFill="1" applyBorder="1" applyAlignment="1">
      <alignment horizontal="left" vertical="center" indent="5"/>
    </xf>
    <xf numFmtId="0" fontId="8" fillId="4" borderId="24" xfId="0" applyFont="1" applyFill="1" applyBorder="1" applyAlignment="1">
      <alignment horizontal="left" vertical="center" indent="5"/>
    </xf>
    <xf numFmtId="0" fontId="7" fillId="3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5" borderId="45" xfId="0" applyFont="1" applyFill="1" applyBorder="1" applyAlignment="1">
      <alignment horizontal="center" vertical="center"/>
    </xf>
    <xf numFmtId="0" fontId="6" fillId="5" borderId="46" xfId="0" applyFont="1" applyFill="1" applyBorder="1" applyAlignment="1">
      <alignment horizontal="center" vertical="center"/>
    </xf>
    <xf numFmtId="0" fontId="6" fillId="5" borderId="40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left" vertical="center" indent="5"/>
    </xf>
    <xf numFmtId="0" fontId="8" fillId="6" borderId="21" xfId="0" applyFont="1" applyFill="1" applyBorder="1" applyAlignment="1">
      <alignment horizontal="left" vertical="center" indent="5"/>
    </xf>
    <xf numFmtId="0" fontId="8" fillId="6" borderId="17" xfId="0" applyFont="1" applyFill="1" applyBorder="1" applyAlignment="1">
      <alignment horizontal="left" vertical="center" indent="5"/>
    </xf>
    <xf numFmtId="0" fontId="8" fillId="6" borderId="18" xfId="0" applyFont="1" applyFill="1" applyBorder="1" applyAlignment="1">
      <alignment horizontal="left" vertical="center" indent="5"/>
    </xf>
    <xf numFmtId="0" fontId="8" fillId="6" borderId="42" xfId="0" applyFont="1" applyFill="1" applyBorder="1" applyAlignment="1">
      <alignment horizontal="left" vertical="center" indent="5"/>
    </xf>
    <xf numFmtId="0" fontId="8" fillId="6" borderId="43" xfId="0" applyFont="1" applyFill="1" applyBorder="1" applyAlignment="1">
      <alignment horizontal="left" vertical="center" indent="5"/>
    </xf>
    <xf numFmtId="0" fontId="8" fillId="6" borderId="13" xfId="0" applyFont="1" applyFill="1" applyBorder="1" applyAlignment="1">
      <alignment horizontal="left" vertical="center" indent="5"/>
    </xf>
    <xf numFmtId="0" fontId="8" fillId="6" borderId="14" xfId="0" applyFont="1" applyFill="1" applyBorder="1" applyAlignment="1">
      <alignment horizontal="left" vertical="center" indent="5"/>
    </xf>
    <xf numFmtId="0" fontId="8" fillId="8" borderId="15" xfId="0" applyFont="1" applyFill="1" applyBorder="1" applyAlignment="1">
      <alignment horizontal="left" vertical="center" indent="5"/>
    </xf>
    <xf numFmtId="0" fontId="8" fillId="8" borderId="16" xfId="0" applyFont="1" applyFill="1" applyBorder="1" applyAlignment="1">
      <alignment horizontal="left" vertical="center" indent="5"/>
    </xf>
    <xf numFmtId="0" fontId="3" fillId="0" borderId="33" xfId="0" applyFont="1" applyBorder="1"/>
    <xf numFmtId="0" fontId="3" fillId="0" borderId="38" xfId="0" applyFont="1" applyBorder="1"/>
  </cellXfs>
  <cellStyles count="3">
    <cellStyle name="Moeda" xfId="1" builtinId="4"/>
    <cellStyle name="Neutro" xfId="2" builtinId="28"/>
    <cellStyle name="Normal" xfId="0" builtinId="0"/>
  </cellStyles>
  <dxfs count="8"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776273440933004"/>
          <c:y val="5.0925925925925923E-2"/>
          <c:w val="0.40020110608345905"/>
          <c:h val="0.92129629629629628"/>
        </c:manualLayout>
      </c:layout>
      <c:pie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85F6-4274-9DC9-371EAC7E6DAC}"/>
              </c:ext>
            </c:extLst>
          </c:dPt>
          <c:dPt>
            <c:idx val="1"/>
            <c:bubble3D val="0"/>
            <c:explosion val="2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85F6-4274-9DC9-371EAC7E6D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09-40E1-847A-7F341B031A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009-40E1-847A-7F341B031A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009-40E1-847A-7F341B031A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009-40E1-847A-7F341B031A9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APLICAÇÕES!$B$34:$B$39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APLICAÇÕES!$C$34:$C$39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85F6-4274-9DC9-371EAC7E6DAC}"/>
            </c:ext>
          </c:extLst>
        </c:ser>
        <c:ser>
          <c:idx val="3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85F6-4274-9DC9-371EAC7E6D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85F6-4274-9DC9-371EAC7E6D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85F6-4274-9DC9-371EAC7E6D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85F6-4274-9DC9-371EAC7E6D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85F6-4274-9DC9-371EAC7E6D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85F6-4274-9DC9-371EAC7E6DA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APLICAÇÕES!$B$34:$B$39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APLICAÇÕES!$C$34:$C$39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85F6-4274-9DC9-371EAC7E6DAC}"/>
            </c:ext>
          </c:extLst>
        </c:ser>
        <c:ser>
          <c:idx val="1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85F6-4274-9DC9-371EAC7E6D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85F6-4274-9DC9-371EAC7E6D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85F6-4274-9DC9-371EAC7E6D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85F6-4274-9DC9-371EAC7E6D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85F6-4274-9DC9-371EAC7E6D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85F6-4274-9DC9-371EAC7E6DAC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5F6-4274-9DC9-371EAC7E6DA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5F6-4274-9DC9-371EAC7E6DA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APLICAÇÕES!$B$34:$B$39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APLICAÇÕES!$C$34:$C$39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5F6-4274-9DC9-371EAC7E6DAC}"/>
            </c:ext>
          </c:extLst>
        </c:ser>
        <c:ser>
          <c:idx val="0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85F6-4274-9DC9-371EAC7E6D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85F6-4274-9DC9-371EAC7E6D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85F6-4274-9DC9-371EAC7E6D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85F6-4274-9DC9-371EAC7E6D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85F6-4274-9DC9-371EAC7E6D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85F6-4274-9DC9-371EAC7E6DAC}"/>
              </c:ext>
            </c:extLst>
          </c:dPt>
          <c:dLbls>
            <c:dLbl>
              <c:idx val="2"/>
              <c:layout>
                <c:manualLayout>
                  <c:x val="7.120485504922737E-2"/>
                  <c:y val="0.1208577573636628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5F6-4274-9DC9-371EAC7E6DAC}"/>
                </c:ext>
              </c:extLst>
            </c:dLbl>
            <c:dLbl>
              <c:idx val="3"/>
              <c:layout>
                <c:manualLayout>
                  <c:x val="5.3694849229819125E-2"/>
                  <c:y val="0.1739927821522309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5F6-4274-9DC9-371EAC7E6DA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5F6-4274-9DC9-371EAC7E6DA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5F6-4274-9DC9-371EAC7E6DAC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APLICAÇÕES!$B$34:$B$39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APLICAÇÕES!$C$34:$C$39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85F6-4274-9DC9-371EAC7E6D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12339916786422"/>
          <c:y val="0.26562335958005251"/>
          <c:w val="0.20481023582459437"/>
          <c:h val="0.5335680956547098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561976</xdr:colOff>
      <xdr:row>1</xdr:row>
      <xdr:rowOff>29211</xdr:rowOff>
    </xdr:from>
    <xdr:to>
      <xdr:col>4</xdr:col>
      <xdr:colOff>20414</xdr:colOff>
      <xdr:row>7</xdr:row>
      <xdr:rowOff>49766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6ACC77-616C-6B5D-E9A1-BECCF71E4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6" y="210186"/>
          <a:ext cx="6373588" cy="110640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61913</xdr:rowOff>
    </xdr:from>
    <xdr:to>
      <xdr:col>4</xdr:col>
      <xdr:colOff>9525</xdr:colOff>
      <xdr:row>56</xdr:row>
      <xdr:rowOff>90488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4CCEA2D-CDFE-3F0D-1EDD-C2436B6CA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1EAB7-66C5-4CB5-91D3-F079712D3F2A}" name="Tabela1" displayName="Tabela1" ref="A1:D19" headerRowDxfId="7" totalsRowDxfId="6" headerRowBorderDxfId="4" tableBorderDxfId="5">
  <autoFilter ref="A1:D19" xr:uid="{9081EAB7-66C5-4CB5-91D3-F079712D3F2A}"/>
  <tableColumns count="4">
    <tableColumn id="1" xr3:uid="{D3571502-0DB7-40DF-88F9-9F0125086833}" name="CHAVE" totalsRowLabel="Total" dataDxfId="3">
      <calculatedColumnFormula>$B$15&amp;"-"&amp;C3</calculatedColumnFormula>
    </tableColumn>
    <tableColumn id="2" xr3:uid="{F1401383-674C-445D-AB9B-A533889D3E27}" name="PERFIL" dataDxfId="2"/>
    <tableColumn id="3" xr3:uid="{0EC0A0BD-2624-4862-9D81-E2D85D4135F5}" name="TIPO DE FII" dataDxfId="1"/>
    <tableColumn id="4" xr3:uid="{4CFAA2DA-4254-4772-B093-F4C2C58EB492}" name="PERCENTUAL %" totalsRowFunction="sum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2E26-43CD-4600-8CA3-F2C1101CB8AE}">
  <dimension ref="A9:K71"/>
  <sheetViews>
    <sheetView showGridLines="0" tabSelected="1" topLeftCell="A26" zoomScale="80" zoomScaleNormal="80" workbookViewId="0">
      <selection activeCell="G54" sqref="G54"/>
    </sheetView>
  </sheetViews>
  <sheetFormatPr defaultColWidth="0" defaultRowHeight="14.4" x14ac:dyDescent="0.3"/>
  <cols>
    <col min="1" max="1" width="8.88671875" customWidth="1"/>
    <col min="2" max="2" width="42.44140625" customWidth="1"/>
    <col min="3" max="3" width="32.109375" bestFit="1" customWidth="1"/>
    <col min="4" max="4" width="17.33203125" bestFit="1" customWidth="1"/>
    <col min="5" max="5" width="12" customWidth="1"/>
    <col min="6" max="6" width="4.5546875" customWidth="1"/>
    <col min="7" max="8" width="8.88671875" customWidth="1"/>
    <col min="9" max="11" width="8.88671875" hidden="1" customWidth="1"/>
  </cols>
  <sheetData>
    <row r="9" spans="2:4" ht="15" thickBot="1" x14ac:dyDescent="0.35"/>
    <row r="10" spans="2:4" ht="24" thickBot="1" x14ac:dyDescent="0.35">
      <c r="B10" s="63" t="s">
        <v>15</v>
      </c>
      <c r="C10" s="64"/>
      <c r="D10" s="65"/>
    </row>
    <row r="11" spans="2:4" ht="18.600000000000001" thickBot="1" x14ac:dyDescent="0.35">
      <c r="B11" s="70" t="s">
        <v>14</v>
      </c>
      <c r="C11" s="71"/>
      <c r="D11" s="27">
        <v>3800</v>
      </c>
    </row>
    <row r="12" spans="2:4" ht="18.600000000000001" thickBot="1" x14ac:dyDescent="0.35">
      <c r="B12" s="72" t="s">
        <v>13</v>
      </c>
      <c r="C12" s="73"/>
      <c r="D12" s="2">
        <v>8.9999999999999993E-3</v>
      </c>
    </row>
    <row r="13" spans="2:4" ht="18.600000000000001" thickBot="1" x14ac:dyDescent="0.35">
      <c r="B13" s="74" t="s">
        <v>30</v>
      </c>
      <c r="C13" s="75"/>
      <c r="D13" s="39">
        <f>D11*20%</f>
        <v>760</v>
      </c>
    </row>
    <row r="14" spans="2:4" ht="15" thickBot="1" x14ac:dyDescent="0.35"/>
    <row r="15" spans="2:4" ht="33" customHeight="1" x14ac:dyDescent="0.3">
      <c r="B15" s="60" t="s">
        <v>5</v>
      </c>
      <c r="C15" s="61"/>
      <c r="D15" s="62"/>
    </row>
    <row r="16" spans="2:4" ht="22.8" customHeight="1" thickBot="1" x14ac:dyDescent="0.35">
      <c r="B16" s="68" t="s">
        <v>0</v>
      </c>
      <c r="C16" s="69"/>
      <c r="D16" s="3">
        <v>760</v>
      </c>
    </row>
    <row r="17" spans="1:4" ht="22.8" customHeight="1" thickBot="1" x14ac:dyDescent="0.35">
      <c r="B17" s="66" t="s">
        <v>1</v>
      </c>
      <c r="C17" s="67"/>
      <c r="D17" s="4">
        <v>10</v>
      </c>
    </row>
    <row r="18" spans="1:4" ht="22.8" customHeight="1" thickBot="1" x14ac:dyDescent="0.35">
      <c r="B18" s="66" t="s">
        <v>2</v>
      </c>
      <c r="C18" s="67"/>
      <c r="D18" s="5">
        <v>1.0789999999999999E-2</v>
      </c>
    </row>
    <row r="19" spans="1:4" ht="22.8" customHeight="1" thickBot="1" x14ac:dyDescent="0.35">
      <c r="B19" s="56" t="s">
        <v>3</v>
      </c>
      <c r="C19" s="57"/>
      <c r="D19" s="6">
        <f>FV(Taxa_Mensal,Qtd_Anos*12,Aporte*-1)</f>
        <v>184896.00152293086</v>
      </c>
    </row>
    <row r="20" spans="1:4" ht="22.8" customHeight="1" thickBot="1" x14ac:dyDescent="0.35">
      <c r="B20" s="58" t="s">
        <v>4</v>
      </c>
      <c r="C20" s="59"/>
      <c r="D20" s="7">
        <f>Patrimonio*Rendimento_Carteira</f>
        <v>1664.0640137063776</v>
      </c>
    </row>
    <row r="21" spans="1:4" ht="15" thickBot="1" x14ac:dyDescent="0.35"/>
    <row r="22" spans="1:4" ht="26.4" thickBot="1" x14ac:dyDescent="0.35">
      <c r="B22" s="54" t="s">
        <v>11</v>
      </c>
      <c r="C22" s="55"/>
      <c r="D22" s="38" t="s">
        <v>12</v>
      </c>
    </row>
    <row r="23" spans="1:4" ht="18.600000000000001" thickBot="1" x14ac:dyDescent="0.35">
      <c r="A23" s="1">
        <v>2</v>
      </c>
      <c r="B23" s="8" t="s">
        <v>6</v>
      </c>
      <c r="C23" s="40">
        <f>FV($D$18,$A23*12,$D$16*-1)</f>
        <v>20692.996746210363</v>
      </c>
      <c r="D23" s="41">
        <f>C23*Rendimento_Carteira</f>
        <v>186.23697071589325</v>
      </c>
    </row>
    <row r="24" spans="1:4" ht="18.600000000000001" thickBot="1" x14ac:dyDescent="0.35">
      <c r="A24" s="1">
        <v>5</v>
      </c>
      <c r="B24" s="9" t="s">
        <v>7</v>
      </c>
      <c r="C24" s="40">
        <f>FV($D$18,$A24*12,$D$16*-1)</f>
        <v>63670.454638850606</v>
      </c>
      <c r="D24" s="41">
        <f>C24*Rendimento_Carteira</f>
        <v>573.03409174965543</v>
      </c>
    </row>
    <row r="25" spans="1:4" ht="18.600000000000001" thickBot="1" x14ac:dyDescent="0.35">
      <c r="A25" s="1">
        <v>10</v>
      </c>
      <c r="B25" s="9" t="s">
        <v>8</v>
      </c>
      <c r="C25" s="40">
        <f>FV($D$18,$A25*12,$D$16*-1)</f>
        <v>184896.00152293086</v>
      </c>
      <c r="D25" s="41">
        <f>C25*Rendimento_Carteira</f>
        <v>1664.0640137063776</v>
      </c>
    </row>
    <row r="26" spans="1:4" ht="18.600000000000001" thickBot="1" x14ac:dyDescent="0.35">
      <c r="A26" s="1">
        <v>20</v>
      </c>
      <c r="B26" s="9" t="s">
        <v>9</v>
      </c>
      <c r="C26" s="42">
        <f>FV($D$18,$A26*12,$D$16*-1)</f>
        <v>855150.78407378122</v>
      </c>
      <c r="D26" s="43">
        <f>C26*Rendimento_Carteira</f>
        <v>7696.3570566640301</v>
      </c>
    </row>
    <row r="27" spans="1:4" ht="18.600000000000001" thickBot="1" x14ac:dyDescent="0.35">
      <c r="A27" s="1">
        <v>30</v>
      </c>
      <c r="B27" s="10" t="s">
        <v>10</v>
      </c>
      <c r="C27" s="44">
        <f>FV($D$18,$A27*12,$D$16*-1)</f>
        <v>3284848.9378035832</v>
      </c>
      <c r="D27" s="45">
        <f>C27*Rendimento_Carteira</f>
        <v>29563.640440232248</v>
      </c>
    </row>
    <row r="29" spans="1:4" ht="15" thickBot="1" x14ac:dyDescent="0.35"/>
    <row r="30" spans="1:4" ht="15" thickBot="1" x14ac:dyDescent="0.35">
      <c r="B30" s="36" t="s">
        <v>17</v>
      </c>
      <c r="C30" s="52" t="s">
        <v>19</v>
      </c>
      <c r="D30" s="53"/>
    </row>
    <row r="31" spans="1:4" ht="15" thickBot="1" x14ac:dyDescent="0.35">
      <c r="B31" s="37" t="s">
        <v>16</v>
      </c>
      <c r="C31" s="50">
        <f>Aporte</f>
        <v>760</v>
      </c>
      <c r="D31" s="51"/>
    </row>
    <row r="32" spans="1:4" ht="15" thickBot="1" x14ac:dyDescent="0.35"/>
    <row r="33" spans="2:4" x14ac:dyDescent="0.3">
      <c r="B33" s="28" t="s">
        <v>20</v>
      </c>
      <c r="C33" s="29" t="s">
        <v>21</v>
      </c>
      <c r="D33" s="30" t="s">
        <v>22</v>
      </c>
    </row>
    <row r="34" spans="2:4" x14ac:dyDescent="0.3">
      <c r="B34" s="31" t="s">
        <v>23</v>
      </c>
      <c r="C34" s="46">
        <f>VLOOKUP($C$30&amp;"-"&amp;B34,FORMULAÇÕES!$A:$D,4,FALSE)</f>
        <v>0.32</v>
      </c>
      <c r="D34" s="47">
        <f>C34*$C$31</f>
        <v>243.20000000000002</v>
      </c>
    </row>
    <row r="35" spans="2:4" x14ac:dyDescent="0.3">
      <c r="B35" s="32" t="s">
        <v>24</v>
      </c>
      <c r="C35" s="48">
        <f>VLOOKUP($C$30&amp;"-"&amp;B35,FORMULAÇÕES!$A:$D,4,FALSE)</f>
        <v>0.35</v>
      </c>
      <c r="D35" s="49">
        <f>C35*$C$31</f>
        <v>266</v>
      </c>
    </row>
    <row r="36" spans="2:4" x14ac:dyDescent="0.3">
      <c r="B36" s="32" t="s">
        <v>25</v>
      </c>
      <c r="C36" s="48">
        <f>VLOOKUP($C$30&amp;"-"&amp;B36,FORMULAÇÕES!$A:$D,4,FALSE)</f>
        <v>0.08</v>
      </c>
      <c r="D36" s="49">
        <f t="shared" ref="D36:D39" si="0">C36*$C$31</f>
        <v>60.800000000000004</v>
      </c>
    </row>
    <row r="37" spans="2:4" x14ac:dyDescent="0.3">
      <c r="B37" s="32" t="s">
        <v>26</v>
      </c>
      <c r="C37" s="48">
        <f>VLOOKUP($C$30&amp;"-"&amp;B37,FORMULAÇÕES!$A:$D,4,FALSE)</f>
        <v>0.05</v>
      </c>
      <c r="D37" s="49">
        <f t="shared" si="0"/>
        <v>38</v>
      </c>
    </row>
    <row r="38" spans="2:4" x14ac:dyDescent="0.3">
      <c r="B38" s="32" t="s">
        <v>27</v>
      </c>
      <c r="C38" s="48">
        <f>VLOOKUP($C$30&amp;"-"&amp;B38,FORMULAÇÕES!$A:$D,4,FALSE)</f>
        <v>0.1</v>
      </c>
      <c r="D38" s="49">
        <f t="shared" si="0"/>
        <v>76</v>
      </c>
    </row>
    <row r="39" spans="2:4" x14ac:dyDescent="0.3">
      <c r="B39" s="32" t="s">
        <v>28</v>
      </c>
      <c r="C39" s="48">
        <f>VLOOKUP($C$30&amp;"-"&amp;B39,FORMULAÇÕES!$A:$D,4,FALSE)</f>
        <v>0.1</v>
      </c>
      <c r="D39" s="49">
        <f t="shared" si="0"/>
        <v>76</v>
      </c>
    </row>
    <row r="40" spans="2:4" ht="15" thickBot="1" x14ac:dyDescent="0.35">
      <c r="B40" s="33"/>
      <c r="C40" s="34"/>
      <c r="D40" s="35">
        <f>SUM(D34:D39)</f>
        <v>760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</sheetData>
  <mergeCells count="13">
    <mergeCell ref="B15:D15"/>
    <mergeCell ref="B10:D10"/>
    <mergeCell ref="B17:C17"/>
    <mergeCell ref="B16:C16"/>
    <mergeCell ref="B18:C18"/>
    <mergeCell ref="B11:C11"/>
    <mergeCell ref="B12:C12"/>
    <mergeCell ref="B13:C13"/>
    <mergeCell ref="C31:D31"/>
    <mergeCell ref="C30:D30"/>
    <mergeCell ref="B22:C22"/>
    <mergeCell ref="B19:C19"/>
    <mergeCell ref="B20:C20"/>
  </mergeCells>
  <dataValidations count="1">
    <dataValidation type="list" allowBlank="1" showInputMessage="1" showErrorMessage="1" sqref="C30" xr:uid="{FC720B4E-B1F9-4A02-83B0-2DF379CF34D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ignoredErrors>
    <ignoredError sqref="D34 D35:D39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5739-3A8C-4210-A7B3-5DDD354F4A4A}">
  <dimension ref="A1:D19"/>
  <sheetViews>
    <sheetView workbookViewId="0">
      <selection activeCell="A21" sqref="A21"/>
    </sheetView>
  </sheetViews>
  <sheetFormatPr defaultRowHeight="14.4" x14ac:dyDescent="0.3"/>
  <cols>
    <col min="1" max="1" width="31.5546875" bestFit="1" customWidth="1"/>
    <col min="2" max="2" width="14" bestFit="1" customWidth="1"/>
    <col min="3" max="3" width="17.6640625" bestFit="1" customWidth="1"/>
    <col min="4" max="4" width="18.33203125" bestFit="1" customWidth="1"/>
  </cols>
  <sheetData>
    <row r="1" spans="1:4" x14ac:dyDescent="0.3">
      <c r="A1" s="11" t="s">
        <v>32</v>
      </c>
      <c r="B1" s="12" t="s">
        <v>17</v>
      </c>
      <c r="C1" s="13" t="s">
        <v>20</v>
      </c>
      <c r="D1" s="14" t="s">
        <v>31</v>
      </c>
    </row>
    <row r="2" spans="1:4" x14ac:dyDescent="0.3">
      <c r="A2" s="76" t="str">
        <f t="shared" ref="A2:A7" si="0">$B$2&amp;"-"&amp;C2</f>
        <v>CONSERVADOR-PAPEL</v>
      </c>
      <c r="B2" s="16" t="s">
        <v>18</v>
      </c>
      <c r="C2" s="17" t="s">
        <v>23</v>
      </c>
      <c r="D2" s="18">
        <v>0.3</v>
      </c>
    </row>
    <row r="3" spans="1:4" x14ac:dyDescent="0.3">
      <c r="A3" s="15" t="str">
        <f t="shared" si="0"/>
        <v>CONSERVADOR-TIJOLO</v>
      </c>
      <c r="B3" s="16" t="s">
        <v>18</v>
      </c>
      <c r="C3" s="17" t="s">
        <v>24</v>
      </c>
      <c r="D3" s="18">
        <v>0.5</v>
      </c>
    </row>
    <row r="4" spans="1:4" x14ac:dyDescent="0.3">
      <c r="A4" s="15" t="str">
        <f t="shared" si="0"/>
        <v>CONSERVADOR-HÍBRIDOS</v>
      </c>
      <c r="B4" s="16" t="s">
        <v>18</v>
      </c>
      <c r="C4" s="17" t="s">
        <v>25</v>
      </c>
      <c r="D4" s="18">
        <v>7.0000000000000007E-2</v>
      </c>
    </row>
    <row r="5" spans="1:4" x14ac:dyDescent="0.3">
      <c r="A5" s="15" t="str">
        <f t="shared" si="0"/>
        <v>CONSERVADOR-FOFs</v>
      </c>
      <c r="B5" s="16" t="s">
        <v>18</v>
      </c>
      <c r="C5" s="17" t="s">
        <v>26</v>
      </c>
      <c r="D5" s="18">
        <v>0.05</v>
      </c>
    </row>
    <row r="6" spans="1:4" x14ac:dyDescent="0.3">
      <c r="A6" s="15" t="str">
        <f t="shared" si="0"/>
        <v>CONSERVADOR-DESENVOLVIMENTO</v>
      </c>
      <c r="B6" s="16" t="s">
        <v>18</v>
      </c>
      <c r="C6" s="17" t="s">
        <v>27</v>
      </c>
      <c r="D6" s="18">
        <v>0.05</v>
      </c>
    </row>
    <row r="7" spans="1:4" ht="15" thickBot="1" x14ac:dyDescent="0.35">
      <c r="A7" s="19" t="str">
        <f t="shared" si="0"/>
        <v>CONSERVADOR-HOTELARIAS</v>
      </c>
      <c r="B7" s="20" t="s">
        <v>18</v>
      </c>
      <c r="C7" s="21" t="s">
        <v>28</v>
      </c>
      <c r="D7" s="22">
        <v>0.03</v>
      </c>
    </row>
    <row r="8" spans="1:4" ht="15" thickBot="1" x14ac:dyDescent="0.35">
      <c r="A8" s="77" t="str">
        <f t="shared" ref="A8:A13" si="1">$B$8&amp;"-"&amp;C8</f>
        <v>MODERADO-PAPEL</v>
      </c>
      <c r="B8" s="24" t="s">
        <v>19</v>
      </c>
      <c r="C8" s="25" t="s">
        <v>23</v>
      </c>
      <c r="D8" s="26">
        <v>0.32</v>
      </c>
    </row>
    <row r="9" spans="1:4" x14ac:dyDescent="0.3">
      <c r="A9" s="11" t="str">
        <f t="shared" si="1"/>
        <v>MODERADO-TIJOLO</v>
      </c>
      <c r="B9" s="12" t="s">
        <v>19</v>
      </c>
      <c r="C9" s="13" t="s">
        <v>24</v>
      </c>
      <c r="D9" s="23">
        <v>0.35</v>
      </c>
    </row>
    <row r="10" spans="1:4" x14ac:dyDescent="0.3">
      <c r="A10" s="15" t="str">
        <f t="shared" si="1"/>
        <v>MODERADO-HÍBRIDOS</v>
      </c>
      <c r="B10" s="16" t="s">
        <v>19</v>
      </c>
      <c r="C10" s="17" t="s">
        <v>25</v>
      </c>
      <c r="D10" s="18">
        <v>0.08</v>
      </c>
    </row>
    <row r="11" spans="1:4" x14ac:dyDescent="0.3">
      <c r="A11" s="15" t="str">
        <f t="shared" si="1"/>
        <v>MODERADO-FOFs</v>
      </c>
      <c r="B11" s="16" t="s">
        <v>19</v>
      </c>
      <c r="C11" s="17" t="s">
        <v>26</v>
      </c>
      <c r="D11" s="18">
        <v>0.05</v>
      </c>
    </row>
    <row r="12" spans="1:4" x14ac:dyDescent="0.3">
      <c r="A12" s="15" t="str">
        <f t="shared" si="1"/>
        <v>MODERADO-DESENVOLVIMENTO</v>
      </c>
      <c r="B12" s="16" t="s">
        <v>19</v>
      </c>
      <c r="C12" s="17" t="s">
        <v>27</v>
      </c>
      <c r="D12" s="18">
        <v>0.1</v>
      </c>
    </row>
    <row r="13" spans="1:4" ht="15" thickBot="1" x14ac:dyDescent="0.35">
      <c r="A13" s="19" t="str">
        <f t="shared" si="1"/>
        <v>MODERADO-HOTELARIAS</v>
      </c>
      <c r="B13" s="20" t="s">
        <v>19</v>
      </c>
      <c r="C13" s="21" t="s">
        <v>28</v>
      </c>
      <c r="D13" s="22">
        <v>0.1</v>
      </c>
    </row>
    <row r="14" spans="1:4" ht="15" thickBot="1" x14ac:dyDescent="0.35">
      <c r="A14" s="77" t="str">
        <f t="shared" ref="A14:A19" si="2">$B$14&amp;"-"&amp;C14</f>
        <v>AGRESSIVO-PAPEL</v>
      </c>
      <c r="B14" s="24" t="s">
        <v>29</v>
      </c>
      <c r="C14" s="25" t="s">
        <v>23</v>
      </c>
      <c r="D14" s="26">
        <v>0.5</v>
      </c>
    </row>
    <row r="15" spans="1:4" x14ac:dyDescent="0.3">
      <c r="A15" s="11" t="str">
        <f t="shared" si="2"/>
        <v>AGRESSIVO-TIJOLO</v>
      </c>
      <c r="B15" s="12" t="s">
        <v>29</v>
      </c>
      <c r="C15" s="13" t="s">
        <v>24</v>
      </c>
      <c r="D15" s="23">
        <v>0.1</v>
      </c>
    </row>
    <row r="16" spans="1:4" x14ac:dyDescent="0.3">
      <c r="A16" s="15" t="str">
        <f t="shared" si="2"/>
        <v>AGRESSIVO-HÍBRIDOS</v>
      </c>
      <c r="B16" s="16" t="s">
        <v>29</v>
      </c>
      <c r="C16" s="17" t="s">
        <v>25</v>
      </c>
      <c r="D16" s="18">
        <v>0.05</v>
      </c>
    </row>
    <row r="17" spans="1:4" x14ac:dyDescent="0.3">
      <c r="A17" s="15" t="str">
        <f t="shared" si="2"/>
        <v>AGRESSIVO-FOFs</v>
      </c>
      <c r="B17" s="16" t="s">
        <v>29</v>
      </c>
      <c r="C17" s="17" t="s">
        <v>26</v>
      </c>
      <c r="D17" s="18">
        <v>0.05</v>
      </c>
    </row>
    <row r="18" spans="1:4" x14ac:dyDescent="0.3">
      <c r="A18" s="15" t="str">
        <f t="shared" si="2"/>
        <v>AGRESSIVO-DESENVOLVIMENTO</v>
      </c>
      <c r="B18" s="16" t="s">
        <v>29</v>
      </c>
      <c r="C18" s="17" t="s">
        <v>27</v>
      </c>
      <c r="D18" s="18">
        <v>0.2</v>
      </c>
    </row>
    <row r="19" spans="1:4" x14ac:dyDescent="0.3">
      <c r="A19" s="19" t="str">
        <f t="shared" si="2"/>
        <v>AGRESSIVO-HOTELARIAS</v>
      </c>
      <c r="B19" s="20" t="s">
        <v>29</v>
      </c>
      <c r="C19" s="21" t="s">
        <v>28</v>
      </c>
      <c r="D19" s="22"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2:A19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APLICAÇÕES</vt:lpstr>
      <vt:lpstr>FORMULAÇÕES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Neves</dc:creator>
  <cp:lastModifiedBy>Wagner Neves</cp:lastModifiedBy>
  <dcterms:created xsi:type="dcterms:W3CDTF">2025-12-24T22:02:36Z</dcterms:created>
  <dcterms:modified xsi:type="dcterms:W3CDTF">2025-12-30T02:40:16Z</dcterms:modified>
</cp:coreProperties>
</file>